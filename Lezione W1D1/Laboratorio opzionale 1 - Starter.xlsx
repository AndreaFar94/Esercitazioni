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EPICODE - DATA ANALYST\Esercitazioni\Esercizi W1\"/>
    </mc:Choice>
  </mc:AlternateContent>
  <xr:revisionPtr revIDLastSave="0" documentId="13_ncr:1_{5C671BAF-2BFA-4BCF-AE9B-CFFDA9BB21FA}" xr6:coauthVersionLast="47" xr6:coauthVersionMax="47" xr10:uidLastSave="{00000000-0000-0000-0000-000000000000}"/>
  <bookViews>
    <workbookView xWindow="-108" yWindow="-108" windowWidth="30936" windowHeight="16776" activeTab="1" xr2:uid="{E8CF36DA-95EB-4991-B485-2B17D9F27C55}"/>
  </bookViews>
  <sheets>
    <sheet name="Foglio1" sheetId="5" r:id="rId1"/>
    <sheet name="Foglio2" sheetId="2" r:id="rId2"/>
    <sheet name="Foglio4" sheetId="4" r:id="rId3"/>
  </sheets>
  <definedNames>
    <definedName name="COLOR">Foglio2!$F$6:$F$14</definedName>
    <definedName name="CONDIZIONE">Foglio2!$E$6:$E$14</definedName>
    <definedName name="LISTPRICE">Foglio2!$G$6:$G$14</definedName>
    <definedName name="NAME">Foglio2!$C$6:$C$14</definedName>
    <definedName name="nNAME">Foglio2!$C$6:$C$14</definedName>
    <definedName name="PRODUCTKEY">Foglio2!$A$6:$A$14</definedName>
    <definedName name="standard">Foglio2!$D$6:$D$14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M6" i="4"/>
  <c r="M7" i="4"/>
  <c r="M8" i="4"/>
  <c r="M4" i="4"/>
  <c r="L5" i="4"/>
  <c r="L6" i="4"/>
  <c r="L7" i="4"/>
  <c r="L8" i="4"/>
  <c r="L4" i="4"/>
  <c r="K5" i="4"/>
  <c r="K6" i="4"/>
  <c r="K7" i="4"/>
  <c r="K8" i="4"/>
  <c r="K4" i="4"/>
  <c r="AK8" i="2"/>
  <c r="AK7" i="2"/>
  <c r="AK6" i="2"/>
  <c r="AH12" i="2"/>
  <c r="AG6" i="2"/>
  <c r="X6" i="2"/>
  <c r="X7" i="2"/>
  <c r="X8" i="2"/>
  <c r="AD6" i="2"/>
  <c r="AD24" i="2"/>
  <c r="AB6" i="2"/>
  <c r="W7" i="2" l="1"/>
  <c r="W8" i="2"/>
  <c r="W6" i="2"/>
  <c r="AB7" i="2"/>
  <c r="AA24" i="2"/>
  <c r="R32" i="2"/>
  <c r="R30" i="2"/>
  <c r="T7" i="2"/>
  <c r="T8" i="2"/>
  <c r="T9" i="2"/>
  <c r="T10" i="2"/>
  <c r="T11" i="2"/>
  <c r="T12" i="2"/>
  <c r="T13" i="2"/>
  <c r="T14" i="2"/>
  <c r="T6" i="2"/>
  <c r="S6" i="2"/>
  <c r="S7" i="2"/>
  <c r="S8" i="2"/>
  <c r="S9" i="2"/>
  <c r="S10" i="2"/>
  <c r="S11" i="2"/>
  <c r="S12" i="2"/>
  <c r="S13" i="2"/>
  <c r="S14" i="2"/>
  <c r="R6" i="2"/>
  <c r="R7" i="2"/>
  <c r="R8" i="2"/>
  <c r="R9" i="2"/>
  <c r="R10" i="2"/>
  <c r="R11" i="2"/>
  <c r="R12" i="2"/>
  <c r="R13" i="2"/>
  <c r="R14" i="2"/>
  <c r="M6" i="2"/>
  <c r="G15" i="5"/>
  <c r="G16" i="5"/>
  <c r="F16" i="5"/>
  <c r="F15" i="5"/>
  <c r="X24" i="2" l="1"/>
  <c r="R27" i="2" a="1"/>
  <c r="R27" i="2" s="1"/>
  <c r="K7" i="2"/>
  <c r="K8" i="2"/>
  <c r="K9" i="2"/>
  <c r="K10" i="2"/>
  <c r="K11" i="2"/>
  <c r="K12" i="2"/>
  <c r="K13" i="2"/>
  <c r="K14" i="2"/>
  <c r="K6" i="2"/>
  <c r="M7" i="2"/>
  <c r="M8" i="2"/>
  <c r="M9" i="2"/>
  <c r="M10" i="2"/>
  <c r="M11" i="2"/>
  <c r="M12" i="2"/>
  <c r="M13" i="2"/>
  <c r="M14" i="2"/>
  <c r="E4" i="5"/>
  <c r="E3" i="5"/>
  <c r="F3" i="5" l="1"/>
  <c r="G3" i="5"/>
  <c r="G4" i="5"/>
  <c r="F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F52F8C-D0B1-44C6-AB6B-D71F7ACE2A99}" keepAlive="1" name="Query - AdventureWorksDW2020" description="Connessione alla query 'AdventureWorksDW2020' nella cartella di lavoro." type="5" refreshedVersion="0" background="1">
    <dbPr connection="Provider=Microsoft.Mashup.OleDb.1;Data Source=$Workbook$;Location=AdventureWorksDW2020;Extended Properties=&quot;&quot;" command="SELECT * FROM [AdventureWorksDW2020]"/>
  </connection>
  <connection id="2" xr16:uid="{BCD0F776-DD01-4ED7-9C83-8B6E2232D135}" keepAlive="1" name="Query - AdventureWorksDW2020 (2)" description="Connessione alla query 'AdventureWorksDW2020 (2)' nella cartella di lavoro." type="5" refreshedVersion="0" background="1">
    <dbPr connection="Provider=Microsoft.Mashup.OleDb.1;Data Source=$Workbook$;Location=&quot;AdventureWorksDW2020 (2)&quot;;Extended Properties=&quot;&quot;" command="SELECT * FROM [AdventureWorksDW2020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<sst xmlns="http://schemas.openxmlformats.org/spreadsheetml/2006/main" count="139" uniqueCount="80">
  <si>
    <t>ProductKey</t>
  </si>
  <si>
    <t>ProductAlternateKey</t>
  </si>
  <si>
    <t>EnglishProductName</t>
  </si>
  <si>
    <t>StandardCost</t>
  </si>
  <si>
    <t>FinishedGoodsFlag</t>
  </si>
  <si>
    <t>Color</t>
  </si>
  <si>
    <t>ListPrice</t>
  </si>
  <si>
    <t>Size</t>
  </si>
  <si>
    <t>AR-5381</t>
  </si>
  <si>
    <t>Adjustable Race</t>
  </si>
  <si>
    <t>NA</t>
  </si>
  <si>
    <t>BE-2349</t>
  </si>
  <si>
    <t>BB Ball Bearing</t>
  </si>
  <si>
    <t>Black</t>
  </si>
  <si>
    <t>CA-6738</t>
  </si>
  <si>
    <t>ML Crankarm</t>
  </si>
  <si>
    <t>Silver</t>
  </si>
  <si>
    <t>CN-6137</t>
  </si>
  <si>
    <t>Chainring Nut</t>
  </si>
  <si>
    <t>44</t>
  </si>
  <si>
    <t>48</t>
  </si>
  <si>
    <t>FR-M94S-42</t>
  </si>
  <si>
    <t>HL Mountain Frame - Silver, 42</t>
  </si>
  <si>
    <t>42</t>
  </si>
  <si>
    <t>FR-M94S-44</t>
  </si>
  <si>
    <t>HL Mountain Frame - Silver, 44</t>
  </si>
  <si>
    <t>FR-M94S-52</t>
  </si>
  <si>
    <t>FR-M94S-46</t>
  </si>
  <si>
    <t>HL Mountain Frame - Silver, 46</t>
  </si>
  <si>
    <t>46</t>
  </si>
  <si>
    <t>Descrizione 1</t>
  </si>
  <si>
    <t>Descrizione 2</t>
  </si>
  <si>
    <t>Count</t>
  </si>
  <si>
    <t>PFCount</t>
  </si>
  <si>
    <t>Giacenza</t>
  </si>
  <si>
    <t>HL Road Frame - Silver, 48</t>
  </si>
  <si>
    <t>Road</t>
  </si>
  <si>
    <t>Model</t>
  </si>
  <si>
    <t>conta il numero di prodotti per modello (il modello è parte del nome prodotto)</t>
  </si>
  <si>
    <t>Mountain</t>
  </si>
  <si>
    <r>
      <t xml:space="preserve">conta il numero di prodotti il cui nome ha la lettera </t>
    </r>
    <r>
      <rPr>
        <i/>
        <sz val="11"/>
        <color theme="1"/>
        <rFont val="Aptos Narrow"/>
        <family val="2"/>
        <scheme val="minor"/>
      </rPr>
      <t xml:space="preserve">M </t>
    </r>
    <r>
      <rPr>
        <sz val="11"/>
        <color theme="1"/>
        <rFont val="Aptos Narrow"/>
        <family val="2"/>
        <scheme val="minor"/>
      </rPr>
      <t>in terza posizione</t>
    </r>
  </si>
  <si>
    <t>conta il numero di prodotti il cui prezzo di listino è superiore a 1300</t>
  </si>
  <si>
    <t>Soglia</t>
  </si>
  <si>
    <t>approccio dinamico</t>
  </si>
  <si>
    <t>Totale</t>
  </si>
  <si>
    <t>Prodotti finiti</t>
  </si>
  <si>
    <t>somma la giacenza di magazzino di tutti i prodotti e poi la giacenza totale dei prodotti con almeno 100 pezzi in magazzino. Somma infine la giacenza dei soli prodotti finiti.</t>
  </si>
  <si>
    <t>Prodotti &gt;100 pzz</t>
  </si>
  <si>
    <t>Order</t>
  </si>
  <si>
    <t>OrderLine</t>
  </si>
  <si>
    <t>OrderDate</t>
  </si>
  <si>
    <t>UnitPrice</t>
  </si>
  <si>
    <t>Quantity</t>
  </si>
  <si>
    <t>SO-100</t>
  </si>
  <si>
    <t>SO-101</t>
  </si>
  <si>
    <t>SO-102</t>
  </si>
  <si>
    <t>CERCA.VERT</t>
  </si>
  <si>
    <t>CERCA.X</t>
  </si>
  <si>
    <r>
      <t xml:space="preserve">concatenare i valori di </t>
    </r>
    <r>
      <rPr>
        <b/>
        <sz val="10"/>
        <color theme="1"/>
        <rFont val="Aptos Narrow"/>
        <family val="2"/>
        <scheme val="minor"/>
      </rPr>
      <t>ProductKey</t>
    </r>
    <r>
      <rPr>
        <sz val="10"/>
        <color theme="1"/>
        <rFont val="Aptos Narrow"/>
        <family val="2"/>
        <scheme val="minor"/>
      </rPr>
      <t xml:space="preserve"> e la descrizone '</t>
    </r>
    <r>
      <rPr>
        <i/>
        <sz val="10"/>
        <color theme="1"/>
        <rFont val="Aptos Narrow"/>
        <family val="2"/>
        <scheme val="minor"/>
      </rPr>
      <t>Prodotto finito</t>
    </r>
    <r>
      <rPr>
        <sz val="10"/>
        <color theme="1"/>
        <rFont val="Aptos Narrow"/>
        <family val="2"/>
        <scheme val="minor"/>
      </rPr>
      <t xml:space="preserve">' se il campo </t>
    </r>
    <r>
      <rPr>
        <b/>
        <sz val="10"/>
        <color theme="1"/>
        <rFont val="Aptos Narrow"/>
        <family val="2"/>
        <scheme val="minor"/>
      </rPr>
      <t>FinishedGoodFlag</t>
    </r>
    <r>
      <rPr>
        <sz val="10"/>
        <color theme="1"/>
        <rFont val="Aptos Narrow"/>
        <family val="2"/>
        <scheme val="minor"/>
      </rPr>
      <t xml:space="preserve"> è VERO, altrimenti concatenare i valori di </t>
    </r>
    <r>
      <rPr>
        <b/>
        <sz val="10"/>
        <color theme="1"/>
        <rFont val="Aptos Narrow"/>
        <family val="2"/>
        <scheme val="minor"/>
      </rPr>
      <t>ProductKey</t>
    </r>
    <r>
      <rPr>
        <sz val="10"/>
        <color theme="1"/>
        <rFont val="Aptos Narrow"/>
        <family val="2"/>
        <scheme val="minor"/>
      </rPr>
      <t xml:space="preserve"> e la descrizione '</t>
    </r>
    <r>
      <rPr>
        <i/>
        <sz val="10"/>
        <color theme="1"/>
        <rFont val="Aptos Narrow"/>
        <family val="2"/>
        <scheme val="minor"/>
      </rPr>
      <t>Componente</t>
    </r>
    <r>
      <rPr>
        <sz val="10"/>
        <color theme="1"/>
        <rFont val="Aptos Narrow"/>
        <family val="2"/>
        <scheme val="minor"/>
      </rPr>
      <t>'.</t>
    </r>
  </si>
  <si>
    <r>
      <t>ottenere la descrizione '</t>
    </r>
    <r>
      <rPr>
        <i/>
        <sz val="11"/>
        <color theme="1"/>
        <rFont val="Aptos Narrow"/>
        <family val="2"/>
        <scheme val="minor"/>
      </rPr>
      <t>dati incompleti'</t>
    </r>
    <r>
      <rPr>
        <sz val="11"/>
        <color theme="1"/>
        <rFont val="Aptos Narrow"/>
        <family val="2"/>
        <scheme val="minor"/>
      </rPr>
      <t xml:space="preserve"> se almeno uno tra i campi </t>
    </r>
    <r>
      <rPr>
        <b/>
        <sz val="11"/>
        <color theme="1"/>
        <rFont val="Aptos Narrow"/>
        <family val="2"/>
        <scheme val="minor"/>
      </rPr>
      <t>ListPrice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 xml:space="preserve">StandardCost </t>
    </r>
    <r>
      <rPr>
        <sz val="11"/>
        <color theme="1"/>
        <rFont val="Aptos Narrow"/>
        <family val="2"/>
        <scheme val="minor"/>
      </rPr>
      <t>è vuoto, altrimenti ottenere la descrizione '</t>
    </r>
    <r>
      <rPr>
        <i/>
        <sz val="11"/>
        <color theme="1"/>
        <rFont val="Aptos Narrow"/>
        <family val="2"/>
        <scheme val="minor"/>
      </rPr>
      <t>dati completi'</t>
    </r>
  </si>
  <si>
    <r>
      <t xml:space="preserve">conta il numero di tutti i prodotti per colore. Conta il numero dei soli prodotti finiti (queli per i quali il campo </t>
    </r>
    <r>
      <rPr>
        <b/>
        <sz val="11"/>
        <color theme="1"/>
        <rFont val="Aptos Narrow"/>
        <family val="2"/>
        <scheme val="minor"/>
      </rPr>
      <t xml:space="preserve">FinishedGoodsFlag </t>
    </r>
    <r>
      <rPr>
        <sz val="11"/>
        <color theme="1"/>
        <rFont val="Aptos Narrow"/>
        <family val="2"/>
        <scheme val="minor"/>
      </rPr>
      <t>è VERO) per colore.</t>
    </r>
  </si>
  <si>
    <t>ANAGRAFICA PRODOTTI</t>
  </si>
  <si>
    <t>TRANSAZIONI DI VENDITA</t>
  </si>
  <si>
    <t>Discount1</t>
  </si>
  <si>
    <t>Price</t>
  </si>
  <si>
    <t>SalesAmount</t>
  </si>
  <si>
    <t>SO-B909-M</t>
  </si>
  <si>
    <t>HL-U509</t>
  </si>
  <si>
    <t>Discount2</t>
  </si>
  <si>
    <t>BLACK</t>
  </si>
  <si>
    <t>SILVER</t>
  </si>
  <si>
    <t>l'asterisco, "*parola*" ignora i caratteri prima o dopo una stringa</t>
  </si>
  <si>
    <r>
      <t xml:space="preserve">se almeno uno tra </t>
    </r>
    <r>
      <rPr>
        <b/>
        <sz val="11"/>
        <color theme="1"/>
        <rFont val="Aptos Narrow"/>
        <family val="2"/>
        <scheme val="minor"/>
      </rPr>
      <t xml:space="preserve">StandardCost </t>
    </r>
    <r>
      <rPr>
        <sz val="11"/>
        <color theme="1"/>
        <rFont val="Aptos Narrow"/>
        <family val="2"/>
        <scheme val="minor"/>
      </rPr>
      <t xml:space="preserve">e </t>
    </r>
    <r>
      <rPr>
        <b/>
        <sz val="11"/>
        <color theme="1"/>
        <rFont val="Aptos Narrow"/>
        <family val="2"/>
        <scheme val="minor"/>
      </rPr>
      <t xml:space="preserve">ListPrice </t>
    </r>
    <r>
      <rPr>
        <sz val="11"/>
        <color theme="1"/>
        <rFont val="Aptos Narrow"/>
        <family val="2"/>
        <scheme val="minor"/>
      </rPr>
      <t xml:space="preserve">è valorizzato esponi il valore massimo tra i due. 
Se </t>
    </r>
    <r>
      <rPr>
        <b/>
        <sz val="11"/>
        <color theme="1"/>
        <rFont val="Aptos Narrow"/>
        <family val="2"/>
        <scheme val="minor"/>
      </rPr>
      <t xml:space="preserve">ListPrice </t>
    </r>
    <r>
      <rPr>
        <sz val="11"/>
        <color theme="1"/>
        <rFont val="Aptos Narrow"/>
        <family val="2"/>
        <scheme val="minor"/>
      </rPr>
      <t xml:space="preserve">non è vuoto esponi </t>
    </r>
    <r>
      <rPr>
        <b/>
        <sz val="11"/>
        <color theme="1"/>
        <rFont val="Aptos Narrow"/>
        <family val="2"/>
        <scheme val="minor"/>
      </rPr>
      <t>Listprice</t>
    </r>
    <r>
      <rPr>
        <sz val="11"/>
        <color theme="1"/>
        <rFont val="Aptos Narrow"/>
        <family val="2"/>
        <scheme val="minor"/>
      </rPr>
      <t xml:space="preserve">, se entrambi sono vuoti esponi la descrizione </t>
    </r>
    <r>
      <rPr>
        <i/>
        <sz val="11"/>
        <color theme="1"/>
        <rFont val="Aptos Narrow"/>
        <family val="2"/>
        <scheme val="minor"/>
      </rPr>
      <t>Valorizzare List Price.</t>
    </r>
  </si>
  <si>
    <t>Esercizio PT.1</t>
  </si>
  <si>
    <t>Esercizio PT.2</t>
  </si>
  <si>
    <t>ESERCIZI UNITI</t>
  </si>
  <si>
    <t>approccio Più.SE</t>
  </si>
  <si>
    <t>approccio - luca - SE</t>
  </si>
  <si>
    <t>approccio - luca 2o - XOR+NON</t>
  </si>
  <si>
    <t>approccio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</si>
</sst>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Segoe UI"/>
      <family val="2"/>
    </font>
    <font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top"/>
    </xf>
    <xf numFmtId="0" fontId="1" fillId="0" borderId="1" xfId="0" applyFont="1" applyBorder="1"/>
    <xf numFmtId="0" fontId="0" fillId="0" borderId="1" xfId="0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0" fontId="0" fillId="2" borderId="0" xfId="0" applyFill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6" borderId="1" xfId="0" applyFill="1" applyBorder="1"/>
    <xf numFmtId="0" fontId="7" fillId="7" borderId="1" xfId="0" applyFont="1" applyFill="1" applyBorder="1"/>
    <xf numFmtId="10" fontId="1" fillId="0" borderId="1" xfId="0" applyNumberFormat="1" applyFont="1" applyBorder="1"/>
    <xf numFmtId="0" fontId="7" fillId="7" borderId="1" xfId="0" applyFont="1" applyFill="1" applyBorder="1" applyAlignment="1">
      <alignment horizontal="left"/>
    </xf>
    <xf numFmtId="10" fontId="1" fillId="0" borderId="1" xfId="0" applyNumberFormat="1" applyFont="1" applyBorder="1" applyAlignment="1">
      <alignment horizontal="left"/>
    </xf>
    <xf numFmtId="0" fontId="8" fillId="0" borderId="0" xfId="0" applyFont="1" applyAlignment="1">
      <alignment vertical="center"/>
    </xf>
    <xf numFmtId="0" fontId="0" fillId="8" borderId="0" xfId="0" applyFill="1"/>
    <xf numFmtId="0" fontId="1" fillId="9" borderId="1" xfId="0" applyFont="1" applyFill="1" applyBorder="1" applyAlignment="1">
      <alignment horizontal="left"/>
    </xf>
    <xf numFmtId="0" fontId="1" fillId="9" borderId="1" xfId="0" applyFont="1" applyFill="1" applyBorder="1"/>
    <xf numFmtId="2" fontId="0" fillId="0" borderId="1" xfId="0" applyNumberFormat="1" applyBorder="1" applyAlignment="1">
      <alignment horizontal="left"/>
    </xf>
    <xf numFmtId="0" fontId="0" fillId="5" borderId="2" xfId="0" applyFill="1" applyBorder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 wrapText="1"/>
    </xf>
    <xf numFmtId="0" fontId="9" fillId="4" borderId="1" xfId="0" applyFont="1" applyFill="1" applyBorder="1"/>
    <xf numFmtId="0" fontId="9" fillId="6" borderId="1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203835</xdr:colOff>
      <xdr:row>18</xdr:row>
      <xdr:rowOff>133350</xdr:rowOff>
    </xdr:from>
    <xdr:to>
      <xdr:col>9</xdr:col>
      <xdr:colOff>498385</xdr:colOff>
      <xdr:row>25</xdr:row>
      <xdr:rowOff>123825</xdr:rowOff>
    </xdr:to>
    <xdr:sp macro="" textlink="">
      <xdr:nvSpPr>
        <xdr:cNvPr id="2" name="TextBox 15">
          <a:extLst>
            <a:ext uri="{FF2B5EF4-FFF2-40B4-BE49-F238E27FC236}">
              <a16:creationId xmlns:a16="http://schemas.microsoft.com/office/drawing/2014/main" id="{868FB452-DAD2-4BAD-83A6-402B3C8E9584}"/>
            </a:ext>
          </a:extLst>
        </xdr:cNvPr>
        <xdr:cNvSpPr txBox="1"/>
      </xdr:nvSpPr>
      <xdr:spPr>
        <a:xfrm>
          <a:off x="203835" y="3425190"/>
          <a:ext cx="6901090" cy="127063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relativo significa che il contenuto cambia man mano che l'espressione della cella è "trascinata" su altre celle cioè man mano che l'espressione è copiata in un'altra posizione del foglio di lavoro.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 riferimento è assoluto quando il contenuto di riferimento non cambia mano mano che l'espressione è copiata in un'altra posizione del foglio di lavoro</a:t>
          </a:r>
          <a:endParaRPr lang="en-GB" sz="1100"/>
        </a:p>
      </xdr:txBody>
    </xdr:sp>
    <xdr:clientData/>
  </xdr:twoCellAnchor>
  <xdr:twoCellAnchor>
    <xdr:from>
      <xdr:col>7</xdr:col>
      <xdr:colOff>180974</xdr:colOff>
      <xdr:row>0</xdr:row>
      <xdr:rowOff>95250</xdr:rowOff>
    </xdr:from>
    <xdr:to>
      <xdr:col>16</xdr:col>
      <xdr:colOff>403859</xdr:colOff>
      <xdr:row>3</xdr:row>
      <xdr:rowOff>180144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A189F5-49C8-4208-9F5B-FDAE8E1D39A6}"/>
            </a:ext>
          </a:extLst>
        </xdr:cNvPr>
        <xdr:cNvSpPr txBox="1"/>
      </xdr:nvSpPr>
      <xdr:spPr>
        <a:xfrm>
          <a:off x="5568314" y="95250"/>
          <a:ext cx="5709285" cy="63353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Importo scontato</a:t>
          </a:r>
          <a:r>
            <a:rPr lang="en-GB" sz="1100" baseline="0"/>
            <a:t> </a:t>
          </a:r>
          <a:br>
            <a:rPr lang="en-GB" sz="1100" baseline="0"/>
          </a:br>
          <a:r>
            <a:rPr lang="en-GB" sz="1100" baseline="0"/>
            <a:t>= </a:t>
          </a:r>
          <a:r>
            <a:rPr lang="en-GB" sz="1100"/>
            <a:t>importo</a:t>
          </a:r>
          <a:r>
            <a:rPr lang="en-GB" sz="1100" baseline="0"/>
            <a:t> - importo * sconto </a:t>
          </a:r>
          <a:br>
            <a:rPr lang="en-GB" sz="1100" baseline="0"/>
          </a:br>
          <a:r>
            <a:rPr lang="en-GB" sz="1100" baseline="0"/>
            <a:t>= importo * (1 - sconto)</a:t>
          </a:r>
          <a:endParaRPr lang="en-GB" sz="1100"/>
        </a:p>
      </xdr:txBody>
    </xdr:sp>
    <xdr:clientData/>
  </xdr:twoCellAnchor>
  <xdr:twoCellAnchor>
    <xdr:from>
      <xdr:col>11</xdr:col>
      <xdr:colOff>575310</xdr:colOff>
      <xdr:row>6</xdr:row>
      <xdr:rowOff>51434</xdr:rowOff>
    </xdr:from>
    <xdr:to>
      <xdr:col>18</xdr:col>
      <xdr:colOff>601980</xdr:colOff>
      <xdr:row>13</xdr:row>
      <xdr:rowOff>53340</xdr:rowOff>
    </xdr:to>
    <xdr:sp macro="" textlink="">
      <xdr:nvSpPr>
        <xdr:cNvPr id="4" name="Callout: Line 5">
          <a:extLst>
            <a:ext uri="{FF2B5EF4-FFF2-40B4-BE49-F238E27FC236}">
              <a16:creationId xmlns:a16="http://schemas.microsoft.com/office/drawing/2014/main" id="{6A9E7AD6-0906-4331-9C52-E147366E299F}"/>
            </a:ext>
          </a:extLst>
        </xdr:cNvPr>
        <xdr:cNvSpPr/>
      </xdr:nvSpPr>
      <xdr:spPr>
        <a:xfrm>
          <a:off x="8401050" y="1148714"/>
          <a:ext cx="4293870" cy="1282066"/>
        </a:xfrm>
        <a:prstGeom prst="borderCallout1">
          <a:avLst>
            <a:gd name="adj1" fmla="val 18750"/>
            <a:gd name="adj2" fmla="val -8333"/>
            <a:gd name="adj3" fmla="val -24722"/>
            <a:gd name="adj4" fmla="val -819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/>
            <a:t>Esercizio 1</a:t>
          </a:r>
        </a:p>
        <a:p>
          <a:pPr algn="l"/>
          <a:r>
            <a:rPr lang="en-GB" sz="1400"/>
            <a:t>Calcolare l'importo</a:t>
          </a:r>
          <a:r>
            <a:rPr lang="en-GB" sz="1400" baseline="0"/>
            <a:t> totale (</a:t>
          </a:r>
          <a:r>
            <a:rPr lang="en-GB" sz="1400" b="1" baseline="0"/>
            <a:t>SalesAmount</a:t>
          </a:r>
          <a:r>
            <a:rPr lang="en-GB" sz="1400" baseline="0"/>
            <a:t>) e l'importo scontato (</a:t>
          </a:r>
          <a:r>
            <a:rPr lang="en-GB" sz="1400" b="1" baseline="0"/>
            <a:t>Discount</a:t>
          </a:r>
          <a:r>
            <a:rPr lang="en-GB" sz="1400" baseline="0"/>
            <a:t>).</a:t>
          </a:r>
        </a:p>
        <a:p>
          <a:pPr algn="l"/>
          <a:r>
            <a:rPr lang="en-GB" sz="1400" baseline="0"/>
            <a:t>Utilizza entrambe le formule indicate per il calcolo dell'importo scontato se vuoi</a:t>
          </a:r>
          <a:endParaRPr lang="en-GB" sz="1400"/>
        </a:p>
      </xdr:txBody>
    </xdr:sp>
    <xdr:clientData/>
  </xdr:twoCellAnchor>
  <xdr:twoCellAnchor>
    <xdr:from>
      <xdr:col>12</xdr:col>
      <xdr:colOff>32385</xdr:colOff>
      <xdr:row>15</xdr:row>
      <xdr:rowOff>133350</xdr:rowOff>
    </xdr:from>
    <xdr:to>
      <xdr:col>18</xdr:col>
      <xdr:colOff>569082</xdr:colOff>
      <xdr:row>22</xdr:row>
      <xdr:rowOff>49233</xdr:rowOff>
    </xdr:to>
    <xdr:sp macro="" textlink="">
      <xdr:nvSpPr>
        <xdr:cNvPr id="5" name="Callout: Line 1">
          <a:extLst>
            <a:ext uri="{FF2B5EF4-FFF2-40B4-BE49-F238E27FC236}">
              <a16:creationId xmlns:a16="http://schemas.microsoft.com/office/drawing/2014/main" id="{DD036E07-747F-4747-8442-2E248BAB5DA0}"/>
            </a:ext>
          </a:extLst>
        </xdr:cNvPr>
        <xdr:cNvSpPr/>
      </xdr:nvSpPr>
      <xdr:spPr>
        <a:xfrm>
          <a:off x="8467725" y="2876550"/>
          <a:ext cx="4194297" cy="1196043"/>
        </a:xfrm>
        <a:prstGeom prst="borderCallout1">
          <a:avLst>
            <a:gd name="adj1" fmla="val 18750"/>
            <a:gd name="adj2" fmla="val -8333"/>
            <a:gd name="adj3" fmla="val 14195"/>
            <a:gd name="adj4" fmla="val -7833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aseline="0"/>
            <a:t>Esercizio 2</a:t>
          </a:r>
        </a:p>
        <a:p>
          <a:pPr algn="l"/>
          <a:r>
            <a:rPr lang="en-GB" sz="1400" baseline="0"/>
            <a:t>Dato l'importo (SalesAmount) determinare il valore dell'importo in funzione delle diverse tipologie di sconto (Discount1 5%) e (Discount2 10%)</a:t>
          </a:r>
          <a:endParaRPr lang="en-GB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16</xdr:row>
      <xdr:rowOff>60960</xdr:rowOff>
    </xdr:from>
    <xdr:to>
      <xdr:col>8</xdr:col>
      <xdr:colOff>152400</xdr:colOff>
      <xdr:row>25</xdr:row>
      <xdr:rowOff>99060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9104BCB2-1D8C-DE44-9AF5-00A9B110B2CD}"/>
            </a:ext>
          </a:extLst>
        </xdr:cNvPr>
        <xdr:cNvSpPr txBox="1"/>
      </xdr:nvSpPr>
      <xdr:spPr>
        <a:xfrm>
          <a:off x="251460" y="2987040"/>
          <a:ext cx="7498080" cy="16840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La funzione </a:t>
          </a:r>
          <a:r>
            <a:rPr lang="it-IT" sz="1100" b="1"/>
            <a:t>SE</a:t>
          </a:r>
          <a:r>
            <a:rPr lang="it-IT" sz="1100"/>
            <a:t> consente di eseguire un </a:t>
          </a:r>
          <a:r>
            <a:rPr lang="it-IT" sz="1100" u="sng"/>
            <a:t>confronto logico </a:t>
          </a:r>
          <a:r>
            <a:rPr lang="it-IT" sz="1100"/>
            <a:t>tra un valore e un risultato previsto.  L'istruzione SE puo' avere due risultati: il primo se il confronto è VERO e il secondo se il confronto è FALSO.   </a:t>
          </a:r>
        </a:p>
        <a:p>
          <a:endParaRPr lang="it-IT" sz="1100"/>
        </a:p>
        <a:p>
          <a:r>
            <a:rPr lang="it-IT" sz="1100"/>
            <a:t>Confronti</a:t>
          </a:r>
          <a:r>
            <a:rPr lang="it-IT" sz="1100" baseline="0"/>
            <a:t> logici: restituiscono vero se</a:t>
          </a:r>
        </a:p>
        <a:p>
          <a:r>
            <a:rPr lang="it-IT" sz="1100" b="1" baseline="0"/>
            <a:t>E</a:t>
          </a:r>
          <a:r>
            <a:rPr lang="it-IT" sz="1100" b="0" baseline="0"/>
            <a:t>: tutte le condizioni del test devono essere vere</a:t>
          </a:r>
          <a:endParaRPr lang="it-IT" sz="1100" b="1" baseline="0"/>
        </a:p>
        <a:p>
          <a:r>
            <a:rPr lang="it-IT" sz="1100" b="1" baseline="0"/>
            <a:t>O</a:t>
          </a:r>
          <a:r>
            <a:rPr lang="it-IT" sz="1100" b="0" baseline="0"/>
            <a:t>: almeno una delle condizioni è vera (o tutte)</a:t>
          </a:r>
          <a:endParaRPr lang="it-IT" sz="1100" b="1" baseline="0"/>
        </a:p>
        <a:p>
          <a:r>
            <a:rPr lang="it-IT" sz="1100" b="1" baseline="0"/>
            <a:t>XOR</a:t>
          </a:r>
          <a:r>
            <a:rPr lang="it-IT" sz="1100" b="0" baseline="0"/>
            <a:t>: almeno una condizione logica (ma non tutte) sono vere</a:t>
          </a:r>
          <a:endParaRPr lang="it-IT" sz="1100" b="1" baseline="0"/>
        </a:p>
        <a:p>
          <a:r>
            <a:rPr lang="it-IT" sz="1100" b="1" baseline="0"/>
            <a:t>NON</a:t>
          </a:r>
          <a:r>
            <a:rPr lang="it-IT" sz="1100" b="0" baseline="0"/>
            <a:t>: se la condizione logica non coincide (negazione)</a:t>
          </a:r>
          <a:endParaRPr lang="it-IT" sz="1100" b="1" baseline="0"/>
        </a:p>
      </xdr:txBody>
    </xdr:sp>
    <xdr:clientData/>
  </xdr:twoCellAnchor>
  <xdr:twoCellAnchor>
    <xdr:from>
      <xdr:col>0</xdr:col>
      <xdr:colOff>266700</xdr:colOff>
      <xdr:row>27</xdr:row>
      <xdr:rowOff>129540</xdr:rowOff>
    </xdr:from>
    <xdr:to>
      <xdr:col>8</xdr:col>
      <xdr:colOff>167640</xdr:colOff>
      <xdr:row>33</xdr:row>
      <xdr:rowOff>129540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8C560F8F-E4C9-4F87-87D9-B18EE7F86B48}"/>
            </a:ext>
          </a:extLst>
        </xdr:cNvPr>
        <xdr:cNvSpPr txBox="1"/>
      </xdr:nvSpPr>
      <xdr:spPr>
        <a:xfrm>
          <a:off x="266700" y="5067300"/>
          <a:ext cx="7498080" cy="109728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La funzione </a:t>
          </a:r>
          <a:r>
            <a:rPr lang="it-IT" sz="1100" b="1"/>
            <a:t>CONTA.SE</a:t>
          </a:r>
          <a:r>
            <a:rPr lang="it-IT" sz="1100" b="1" baseline="0"/>
            <a:t> </a:t>
          </a:r>
          <a:r>
            <a:rPr lang="it-IT" sz="1100" b="0" baseline="0"/>
            <a:t>è una funziona statistica utile per contare il numero di celle che soddisfano un determinato criterio.</a:t>
          </a:r>
        </a:p>
        <a:p>
          <a:r>
            <a:rPr lang="it-IT" sz="1100" b="0" baseline="0"/>
            <a:t>La funziona </a:t>
          </a:r>
          <a:r>
            <a:rPr lang="it-IT" sz="1100" b="1" baseline="0"/>
            <a:t>CONTA.SE </a:t>
          </a:r>
          <a:r>
            <a:rPr lang="it-IT" sz="1100" b="0" baseline="0"/>
            <a:t>richiede due argomenti che consentono di indicare </a:t>
          </a:r>
          <a:r>
            <a:rPr lang="it-IT" sz="1100" b="1" baseline="0"/>
            <a:t>dove si vuole cercare </a:t>
          </a:r>
          <a:r>
            <a:rPr lang="it-IT" sz="1100" b="0" baseline="0"/>
            <a:t>(l'intervallo di valori dove si vuole cercare e contare) e </a:t>
          </a:r>
          <a:r>
            <a:rPr lang="it-IT" sz="1100" b="1" baseline="0"/>
            <a:t>cosa si vuole cercare </a:t>
          </a:r>
          <a:r>
            <a:rPr lang="it-IT" sz="1100" b="0" baseline="0"/>
            <a:t>(il criterio di ricerca).</a:t>
          </a:r>
        </a:p>
        <a:p>
          <a:br>
            <a:rPr lang="it-IT" sz="1100" b="1" baseline="0"/>
          </a:br>
          <a:r>
            <a:rPr lang="it-IT" sz="1100" b="1" baseline="0"/>
            <a:t>=CONTA.SE(Dove si vuole cercare?; Cosa si vuole cercare?)</a:t>
          </a:r>
        </a:p>
      </xdr:txBody>
    </xdr:sp>
    <xdr:clientData/>
  </xdr:twoCellAnchor>
  <xdr:twoCellAnchor>
    <xdr:from>
      <xdr:col>0</xdr:col>
      <xdr:colOff>284018</xdr:colOff>
      <xdr:row>37</xdr:row>
      <xdr:rowOff>0</xdr:rowOff>
    </xdr:from>
    <xdr:to>
      <xdr:col>8</xdr:col>
      <xdr:colOff>184958</xdr:colOff>
      <xdr:row>44</xdr:row>
      <xdr:rowOff>103909</xdr:rowOff>
    </xdr:to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D3813ECF-8FAC-4043-819E-B1C72A93D531}"/>
            </a:ext>
          </a:extLst>
        </xdr:cNvPr>
        <xdr:cNvSpPr txBox="1"/>
      </xdr:nvSpPr>
      <xdr:spPr>
        <a:xfrm>
          <a:off x="284018" y="6664036"/>
          <a:ext cx="7500158" cy="136467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La funzione </a:t>
          </a:r>
          <a:r>
            <a:rPr lang="it-IT" sz="1100" b="1"/>
            <a:t>SOMMA.SE</a:t>
          </a:r>
          <a:r>
            <a:rPr lang="it-IT" sz="1100" b="1" baseline="0"/>
            <a:t> </a:t>
          </a:r>
          <a:r>
            <a:rPr lang="it-IT" sz="1100" b="0" baseline="0"/>
            <a:t>è una funziona statistica utile per sommare i valori di un intervallo che soddisfano i criteri specificati. </a:t>
          </a:r>
        </a:p>
        <a:p>
          <a:r>
            <a:rPr lang="it-IT" sz="1100" b="0" baseline="0"/>
            <a:t>La funziona </a:t>
          </a:r>
          <a:r>
            <a:rPr lang="it-IT" sz="1100" b="1" baseline="0"/>
            <a:t>SOMMA.SE </a:t>
          </a:r>
          <a:r>
            <a:rPr lang="it-IT" sz="1100" b="0" baseline="0"/>
            <a:t>richiede tre argomenti:</a:t>
          </a:r>
          <a:br>
            <a:rPr lang="it-IT" sz="1100" b="0" baseline="0"/>
          </a:br>
          <a:r>
            <a:rPr lang="it-IT" sz="1100" b="1" baseline="0"/>
            <a:t>intervallo</a:t>
          </a:r>
          <a:r>
            <a:rPr lang="it-IT" sz="1100" b="0" baseline="0"/>
            <a:t>: 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Obbligatorio. Intervallo di celle da valutare in base ai criteri.</a:t>
          </a:r>
        </a:p>
        <a:p>
          <a:r>
            <a:rPr lang="it-IT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criteri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Obbligatorio. Consente di indicare il criterio di ricerca in base al quale sommare.</a:t>
          </a:r>
        </a:p>
        <a:p>
          <a:r>
            <a:rPr lang="it-IT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int_somma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Facoltativo. Celle effettivamente da sommare, se si vogliono sommare celle diverse da quelle specificate nell'argomento intervallo. Se l'argomento int_somma è omesso, verranno sommate le celle specificate nell'argomento intervallo, ovvero le stesse celle a cui vengono applicati i criteri.</a:t>
          </a:r>
          <a:br>
            <a:rPr lang="it-IT" sz="1100" b="0" baseline="0"/>
          </a:br>
          <a:endParaRPr lang="it-IT" sz="1100" b="1" baseline="0"/>
        </a:p>
      </xdr:txBody>
    </xdr:sp>
    <xdr:clientData/>
  </xdr:twoCellAnchor>
  <xdr:twoCellAnchor>
    <xdr:from>
      <xdr:col>25</xdr:col>
      <xdr:colOff>353292</xdr:colOff>
      <xdr:row>9</xdr:row>
      <xdr:rowOff>48490</xdr:rowOff>
    </xdr:from>
    <xdr:to>
      <xdr:col>29</xdr:col>
      <xdr:colOff>159328</xdr:colOff>
      <xdr:row>14</xdr:row>
      <xdr:rowOff>41564</xdr:rowOff>
    </xdr:to>
    <xdr:sp macro="" textlink="">
      <xdr:nvSpPr>
        <xdr:cNvPr id="3" name="Callout: linea 2">
          <a:extLst>
            <a:ext uri="{FF2B5EF4-FFF2-40B4-BE49-F238E27FC236}">
              <a16:creationId xmlns:a16="http://schemas.microsoft.com/office/drawing/2014/main" id="{0EE7511E-AB58-E5C6-E77D-9E73828D4532}"/>
            </a:ext>
          </a:extLst>
        </xdr:cNvPr>
        <xdr:cNvSpPr/>
      </xdr:nvSpPr>
      <xdr:spPr>
        <a:xfrm>
          <a:off x="23171728" y="1669472"/>
          <a:ext cx="2230582" cy="893619"/>
        </a:xfrm>
        <a:prstGeom prst="borderCallout1">
          <a:avLst>
            <a:gd name="adj1" fmla="val 18750"/>
            <a:gd name="adj2" fmla="val -8333"/>
            <a:gd name="adj3" fmla="val -43361"/>
            <a:gd name="adj4" fmla="val 928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 b="0" i="0" baseline="0"/>
            <a:t>tip: conta tutti i prodotti che contengono le parole </a:t>
          </a:r>
          <a:r>
            <a:rPr lang="it-IT" sz="1100" b="0" i="1" baseline="0"/>
            <a:t>Road e Frame </a:t>
          </a:r>
          <a:r>
            <a:rPr lang="it-IT" sz="1100" b="0" i="0" baseline="0"/>
            <a:t>nel campo </a:t>
          </a:r>
          <a:r>
            <a:rPr lang="it-IT" sz="1100" b="1" i="0" baseline="0"/>
            <a:t>EnglishProductName.</a:t>
          </a:r>
          <a:endParaRPr lang="it-IT" sz="1100"/>
        </a:p>
      </xdr:txBody>
    </xdr:sp>
    <xdr:clientData/>
  </xdr:twoCellAnchor>
  <xdr:twoCellAnchor>
    <xdr:from>
      <xdr:col>34</xdr:col>
      <xdr:colOff>131617</xdr:colOff>
      <xdr:row>12</xdr:row>
      <xdr:rowOff>117764</xdr:rowOff>
    </xdr:from>
    <xdr:to>
      <xdr:col>37</xdr:col>
      <xdr:colOff>41563</xdr:colOff>
      <xdr:row>15</xdr:row>
      <xdr:rowOff>1</xdr:rowOff>
    </xdr:to>
    <xdr:sp macro="" textlink="">
      <xdr:nvSpPr>
        <xdr:cNvPr id="5" name="Callout: linea 4">
          <a:extLst>
            <a:ext uri="{FF2B5EF4-FFF2-40B4-BE49-F238E27FC236}">
              <a16:creationId xmlns:a16="http://schemas.microsoft.com/office/drawing/2014/main" id="{A4CDB155-7789-4C2E-B4D3-9EBD2F2D9E0E}"/>
            </a:ext>
          </a:extLst>
        </xdr:cNvPr>
        <xdr:cNvSpPr/>
      </xdr:nvSpPr>
      <xdr:spPr>
        <a:xfrm>
          <a:off x="30639326" y="2279073"/>
          <a:ext cx="2230582" cy="422564"/>
        </a:xfrm>
        <a:prstGeom prst="borderCallout1">
          <a:avLst>
            <a:gd name="adj1" fmla="val 18750"/>
            <a:gd name="adj2" fmla="val -8333"/>
            <a:gd name="adj3" fmla="val -6177"/>
            <a:gd name="adj4" fmla="val -404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 b="0" i="0" baseline="0"/>
            <a:t>utilizza il convalida dati</a:t>
          </a:r>
          <a:endParaRPr lang="it-I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14</xdr:row>
      <xdr:rowOff>7620</xdr:rowOff>
    </xdr:from>
    <xdr:to>
      <xdr:col>10</xdr:col>
      <xdr:colOff>1417320</xdr:colOff>
      <xdr:row>17</xdr:row>
      <xdr:rowOff>68580</xdr:rowOff>
    </xdr:to>
    <xdr:sp macro="" textlink="">
      <xdr:nvSpPr>
        <xdr:cNvPr id="2" name="Callout: linea 1">
          <a:extLst>
            <a:ext uri="{FF2B5EF4-FFF2-40B4-BE49-F238E27FC236}">
              <a16:creationId xmlns:a16="http://schemas.microsoft.com/office/drawing/2014/main" id="{BA8EDC58-E4DC-4318-96F4-60B8382043EA}"/>
            </a:ext>
          </a:extLst>
        </xdr:cNvPr>
        <xdr:cNvSpPr/>
      </xdr:nvSpPr>
      <xdr:spPr>
        <a:xfrm>
          <a:off x="7353300" y="2567940"/>
          <a:ext cx="2727960" cy="609600"/>
        </a:xfrm>
        <a:prstGeom prst="borderCallout1">
          <a:avLst>
            <a:gd name="adj1" fmla="val -6250"/>
            <a:gd name="adj2" fmla="val 44460"/>
            <a:gd name="adj3" fmla="val -167119"/>
            <a:gd name="adj4" fmla="val 73952"/>
          </a:avLst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 b="0" i="0" baseline="0">
              <a:solidFill>
                <a:sysClr val="windowText" lastClr="000000"/>
              </a:solidFill>
            </a:rPr>
            <a:t>arricchisci l'elenco delle transazioni di vendita del nome prodotto (utilizza il cerca.vert)</a:t>
          </a:r>
          <a:endParaRPr lang="it-IT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1013460</xdr:colOff>
      <xdr:row>14</xdr:row>
      <xdr:rowOff>144780</xdr:rowOff>
    </xdr:from>
    <xdr:to>
      <xdr:col>13</xdr:col>
      <xdr:colOff>556260</xdr:colOff>
      <xdr:row>18</xdr:row>
      <xdr:rowOff>22860</xdr:rowOff>
    </xdr:to>
    <xdr:sp macro="" textlink="">
      <xdr:nvSpPr>
        <xdr:cNvPr id="3" name="Callout: linea 2">
          <a:extLst>
            <a:ext uri="{FF2B5EF4-FFF2-40B4-BE49-F238E27FC236}">
              <a16:creationId xmlns:a16="http://schemas.microsoft.com/office/drawing/2014/main" id="{46E20A99-14AD-4DEF-8EF2-A7D3F0B6D374}"/>
            </a:ext>
          </a:extLst>
        </xdr:cNvPr>
        <xdr:cNvSpPr/>
      </xdr:nvSpPr>
      <xdr:spPr>
        <a:xfrm>
          <a:off x="11422380" y="2705100"/>
          <a:ext cx="2727960" cy="609600"/>
        </a:xfrm>
        <a:prstGeom prst="borderCallout1">
          <a:avLst>
            <a:gd name="adj1" fmla="val -8750"/>
            <a:gd name="adj2" fmla="val 30773"/>
            <a:gd name="adj3" fmla="val -187119"/>
            <a:gd name="adj4" fmla="val 15014"/>
          </a:avLst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 b="0" i="0" baseline="0">
              <a:solidFill>
                <a:sysClr val="windowText" lastClr="000000"/>
              </a:solidFill>
            </a:rPr>
            <a:t>arricchisci l'elenco delle transazioni di vendita del nome prodotto e del codice alterbativo (utilizza il cerca.x)</a:t>
          </a:r>
          <a:endParaRPr lang="it-IT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F803-77A2-471D-BA5F-16E04A00B4C1}">
  <dimension ref="A1:G16"/>
  <sheetViews>
    <sheetView workbookViewId="0">
      <selection activeCell="B41" sqref="B41"/>
    </sheetView>
  </sheetViews>
  <sheetFormatPr defaultColWidth="8.88671875" defaultRowHeight="14.4" x14ac:dyDescent="0.3"/>
  <cols>
    <col min="1" max="1" width="12" bestFit="1" customWidth="1"/>
    <col min="2" max="2" width="19.88671875" bestFit="1" customWidth="1"/>
    <col min="3" max="3" width="8.6640625" bestFit="1" customWidth="1"/>
    <col min="4" max="4" width="6" bestFit="1" customWidth="1"/>
    <col min="5" max="5" width="12.6640625" bestFit="1" customWidth="1"/>
    <col min="6" max="7" width="9.6640625" bestFit="1" customWidth="1"/>
  </cols>
  <sheetData>
    <row r="1" spans="1:7" x14ac:dyDescent="0.3">
      <c r="A1" s="32" t="s">
        <v>62</v>
      </c>
      <c r="B1" s="32"/>
      <c r="C1" s="32"/>
      <c r="D1" s="32"/>
      <c r="E1" s="32"/>
      <c r="F1" s="25" t="s">
        <v>63</v>
      </c>
      <c r="G1" s="25" t="s">
        <v>63</v>
      </c>
    </row>
    <row r="2" spans="1:7" x14ac:dyDescent="0.3">
      <c r="A2" s="3" t="s">
        <v>0</v>
      </c>
      <c r="B2" s="3" t="s">
        <v>1</v>
      </c>
      <c r="C2" s="3" t="s">
        <v>52</v>
      </c>
      <c r="D2" s="3" t="s">
        <v>64</v>
      </c>
      <c r="E2" s="3" t="s">
        <v>65</v>
      </c>
      <c r="F2" s="26">
        <v>0.05</v>
      </c>
      <c r="G2" s="26">
        <v>0.05</v>
      </c>
    </row>
    <row r="3" spans="1:7" x14ac:dyDescent="0.3">
      <c r="A3" s="2">
        <v>218</v>
      </c>
      <c r="B3" s="2" t="s">
        <v>66</v>
      </c>
      <c r="C3" s="2">
        <v>6</v>
      </c>
      <c r="D3" s="2">
        <v>5.7</v>
      </c>
      <c r="E3" s="2">
        <f>C3*D3</f>
        <v>34.200000000000003</v>
      </c>
      <c r="F3" s="2">
        <f>$E$3-($E$3*$F$2)</f>
        <v>32.49</v>
      </c>
      <c r="G3" s="2">
        <f>$E$3*(1-$G$2)</f>
        <v>32.49</v>
      </c>
    </row>
    <row r="4" spans="1:7" x14ac:dyDescent="0.3">
      <c r="A4" s="2">
        <v>215</v>
      </c>
      <c r="B4" s="2" t="s">
        <v>67</v>
      </c>
      <c r="C4" s="2">
        <v>5</v>
      </c>
      <c r="D4" s="2">
        <v>20.2</v>
      </c>
      <c r="E4" s="2">
        <f>C4*D4</f>
        <v>101</v>
      </c>
      <c r="F4" s="2">
        <f>$E$4-($E$4*$F$2)</f>
        <v>95.95</v>
      </c>
      <c r="G4" s="2">
        <f>$E$4*(1-$G$2)</f>
        <v>95.949999999999989</v>
      </c>
    </row>
    <row r="13" spans="1:7" x14ac:dyDescent="0.3">
      <c r="A13" s="32" t="s">
        <v>62</v>
      </c>
      <c r="B13" s="32"/>
      <c r="C13" s="32"/>
      <c r="D13" s="32"/>
      <c r="E13" s="32"/>
      <c r="F13" s="23" t="s">
        <v>63</v>
      </c>
      <c r="G13" s="23" t="s">
        <v>68</v>
      </c>
    </row>
    <row r="14" spans="1:7" x14ac:dyDescent="0.3">
      <c r="A14" s="10" t="s">
        <v>0</v>
      </c>
      <c r="B14" s="10" t="s">
        <v>1</v>
      </c>
      <c r="C14" s="10" t="s">
        <v>52</v>
      </c>
      <c r="D14" s="10" t="s">
        <v>64</v>
      </c>
      <c r="E14" s="10" t="s">
        <v>65</v>
      </c>
      <c r="F14" s="24">
        <v>0.05</v>
      </c>
      <c r="G14" s="24">
        <v>0.1</v>
      </c>
    </row>
    <row r="15" spans="1:7" x14ac:dyDescent="0.3">
      <c r="A15" s="11">
        <v>218</v>
      </c>
      <c r="B15" s="11" t="s">
        <v>66</v>
      </c>
      <c r="C15" s="11">
        <v>6</v>
      </c>
      <c r="D15" s="11">
        <v>5.7</v>
      </c>
      <c r="E15" s="11">
        <v>34.200000000000003</v>
      </c>
      <c r="F15" s="11">
        <f>$E$15-($E$15*F$14)</f>
        <v>32.49</v>
      </c>
      <c r="G15" s="11">
        <f>$E$15-($E$15*G$14)</f>
        <v>30.78</v>
      </c>
    </row>
    <row r="16" spans="1:7" x14ac:dyDescent="0.3">
      <c r="A16" s="11">
        <v>215</v>
      </c>
      <c r="B16" s="11" t="s">
        <v>67</v>
      </c>
      <c r="C16" s="11">
        <v>5</v>
      </c>
      <c r="D16" s="11">
        <v>20.190000000000001</v>
      </c>
      <c r="E16" s="11">
        <v>100.95</v>
      </c>
      <c r="F16" s="11">
        <f>$E$16-($E$16*F$14)</f>
        <v>95.902500000000003</v>
      </c>
      <c r="G16" s="11">
        <f>$E$16-($E$16*G$14)</f>
        <v>90.855000000000004</v>
      </c>
    </row>
  </sheetData>
  <mergeCells count="4">
    <mergeCell ref="A1:C1"/>
    <mergeCell ref="D1:E1"/>
    <mergeCell ref="A13:C13"/>
    <mergeCell ref="D13:E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6500-56EA-46DB-A2BA-04C553F2116A}">
  <dimension ref="A1:AM32"/>
  <sheetViews>
    <sheetView tabSelected="1" zoomScale="110" zoomScaleNormal="110" workbookViewId="0">
      <pane xSplit="9" ySplit="16" topLeftCell="J17" activePane="bottomRight" state="frozen"/>
      <selection pane="topRight" activeCell="J1" sqref="J1"/>
      <selection pane="bottomLeft" activeCell="A17" sqref="A17"/>
      <selection pane="bottomRight" activeCell="K22" sqref="K22"/>
    </sheetView>
  </sheetViews>
  <sheetFormatPr defaultRowHeight="14.4" x14ac:dyDescent="0.3"/>
  <cols>
    <col min="1" max="1" width="10.5546875" style="15" bestFit="1" customWidth="1"/>
    <col min="2" max="2" width="18.44140625" style="15" bestFit="1" customWidth="1"/>
    <col min="3" max="3" width="25.6640625" style="15" bestFit="1" customWidth="1"/>
    <col min="4" max="4" width="12.44140625" style="15" bestFit="1" customWidth="1"/>
    <col min="5" max="5" width="17" style="15" bestFit="1" customWidth="1"/>
    <col min="6" max="9" width="8.88671875" style="15"/>
    <col min="10" max="10" width="4.21875" customWidth="1"/>
    <col min="11" max="11" width="38.5546875" customWidth="1"/>
    <col min="12" max="12" width="8.77734375" customWidth="1"/>
    <col min="13" max="13" width="22.6640625" customWidth="1"/>
    <col min="16" max="16" width="8.77734375" customWidth="1"/>
    <col min="17" max="17" width="25.109375" customWidth="1"/>
    <col min="18" max="18" width="19.88671875" customWidth="1"/>
    <col min="19" max="19" width="23.77734375" customWidth="1"/>
    <col min="20" max="20" width="26.6640625" bestFit="1" customWidth="1"/>
    <col min="21" max="21" width="8.77734375" customWidth="1"/>
    <col min="24" max="24" width="13.44140625" bestFit="1" customWidth="1"/>
    <col min="26" max="26" width="8.77734375" customWidth="1"/>
    <col min="29" max="29" width="8.77734375" customWidth="1"/>
    <col min="30" max="30" width="9.21875" bestFit="1" customWidth="1"/>
    <col min="32" max="32" width="8.77734375" customWidth="1"/>
    <col min="33" max="33" width="25.77734375" bestFit="1" customWidth="1"/>
    <col min="35" max="35" width="8.77734375" customWidth="1"/>
    <col min="36" max="36" width="15.88671875" customWidth="1"/>
    <col min="37" max="37" width="9.21875" bestFit="1" customWidth="1"/>
    <col min="40" max="40" width="8.77734375" customWidth="1"/>
  </cols>
  <sheetData>
    <row r="1" spans="1:39" ht="14.4" customHeight="1" x14ac:dyDescent="0.3">
      <c r="A1"/>
      <c r="B1"/>
      <c r="C1"/>
      <c r="D1"/>
      <c r="E1"/>
      <c r="F1"/>
      <c r="G1"/>
      <c r="H1"/>
      <c r="I1" s="7"/>
      <c r="K1" s="33" t="s">
        <v>58</v>
      </c>
      <c r="M1" s="34" t="s">
        <v>59</v>
      </c>
      <c r="N1" s="34"/>
      <c r="O1" s="34"/>
      <c r="Q1" s="37" t="s">
        <v>72</v>
      </c>
      <c r="R1" s="37"/>
      <c r="S1" s="37"/>
      <c r="T1" s="37"/>
      <c r="U1" s="9"/>
      <c r="V1" s="34" t="s">
        <v>60</v>
      </c>
      <c r="W1" s="34"/>
      <c r="X1" s="34"/>
      <c r="Y1" s="34"/>
      <c r="AA1" s="34" t="s">
        <v>38</v>
      </c>
      <c r="AB1" s="34"/>
      <c r="AD1" s="34" t="s">
        <v>40</v>
      </c>
      <c r="AE1" s="34"/>
      <c r="AG1" s="34" t="s">
        <v>41</v>
      </c>
      <c r="AH1" s="34"/>
      <c r="AJ1" s="34" t="s">
        <v>46</v>
      </c>
      <c r="AK1" s="34"/>
      <c r="AL1" s="34"/>
      <c r="AM1" s="34"/>
    </row>
    <row r="2" spans="1:39" ht="14.4" customHeight="1" x14ac:dyDescent="0.3">
      <c r="A2"/>
      <c r="B2"/>
      <c r="C2"/>
      <c r="D2"/>
      <c r="E2"/>
      <c r="F2"/>
      <c r="G2"/>
      <c r="H2"/>
      <c r="I2" s="7"/>
      <c r="K2" s="33"/>
      <c r="L2" s="5"/>
      <c r="M2" s="34"/>
      <c r="N2" s="34"/>
      <c r="O2" s="34"/>
      <c r="P2" s="5"/>
      <c r="Q2" s="37"/>
      <c r="R2" s="37"/>
      <c r="S2" s="37"/>
      <c r="T2" s="37"/>
      <c r="U2" s="9"/>
      <c r="V2" s="34"/>
      <c r="W2" s="34"/>
      <c r="X2" s="34"/>
      <c r="Y2" s="34"/>
      <c r="AA2" s="34"/>
      <c r="AB2" s="34"/>
      <c r="AD2" s="34"/>
      <c r="AE2" s="34"/>
      <c r="AG2" s="34"/>
      <c r="AH2" s="34"/>
      <c r="AJ2" s="34"/>
      <c r="AK2" s="34"/>
      <c r="AL2" s="34"/>
      <c r="AM2" s="34"/>
    </row>
    <row r="3" spans="1:39" ht="14.4" customHeight="1" x14ac:dyDescent="0.3">
      <c r="A3"/>
      <c r="B3"/>
      <c r="C3"/>
      <c r="D3"/>
      <c r="E3"/>
      <c r="F3"/>
      <c r="G3"/>
      <c r="H3"/>
      <c r="I3" s="7"/>
      <c r="K3" s="33"/>
      <c r="L3" s="5"/>
      <c r="M3" s="34"/>
      <c r="N3" s="34"/>
      <c r="O3" s="34"/>
      <c r="P3" s="5"/>
      <c r="Q3" s="37"/>
      <c r="R3" s="37"/>
      <c r="S3" s="37"/>
      <c r="T3" s="37"/>
      <c r="U3" s="9"/>
      <c r="V3" s="34"/>
      <c r="W3" s="34"/>
      <c r="X3" s="34"/>
      <c r="Y3" s="34"/>
      <c r="AA3" s="34"/>
      <c r="AB3" s="34"/>
      <c r="AD3" s="34"/>
      <c r="AE3" s="34"/>
      <c r="AG3" s="34"/>
      <c r="AH3" s="34"/>
      <c r="AJ3" s="34"/>
      <c r="AK3" s="34"/>
      <c r="AL3" s="34"/>
      <c r="AM3" s="34"/>
    </row>
    <row r="4" spans="1:39" x14ac:dyDescent="0.3">
      <c r="A4"/>
      <c r="B4"/>
      <c r="C4"/>
      <c r="D4"/>
      <c r="E4"/>
      <c r="F4"/>
      <c r="G4"/>
      <c r="H4"/>
      <c r="I4" s="7"/>
      <c r="K4" s="33"/>
      <c r="L4" s="5"/>
      <c r="M4" s="34"/>
      <c r="N4" s="34"/>
      <c r="O4" s="34"/>
      <c r="P4" s="5"/>
      <c r="Q4" s="37"/>
      <c r="R4" s="37"/>
      <c r="S4" s="37"/>
      <c r="T4" s="37"/>
      <c r="U4" s="9"/>
      <c r="V4" s="34"/>
      <c r="W4" s="34"/>
      <c r="X4" s="34"/>
      <c r="Y4" s="34"/>
      <c r="AA4" s="36"/>
      <c r="AB4" s="36"/>
      <c r="AD4" s="34"/>
      <c r="AE4" s="34"/>
      <c r="AG4" s="34"/>
      <c r="AH4" s="34"/>
      <c r="AJ4" s="34"/>
      <c r="AK4" s="34"/>
      <c r="AL4" s="34"/>
      <c r="AM4" s="34"/>
    </row>
    <row r="5" spans="1:39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34</v>
      </c>
      <c r="J5" s="4"/>
      <c r="K5" s="10" t="s">
        <v>30</v>
      </c>
      <c r="M5" s="10" t="s">
        <v>31</v>
      </c>
      <c r="R5" s="29" t="s">
        <v>73</v>
      </c>
      <c r="S5" s="29" t="s">
        <v>74</v>
      </c>
      <c r="T5" s="30" t="s">
        <v>75</v>
      </c>
      <c r="V5" s="3" t="s">
        <v>5</v>
      </c>
      <c r="W5" s="3" t="s">
        <v>32</v>
      </c>
      <c r="X5" s="3" t="s">
        <v>33</v>
      </c>
      <c r="Y5" s="4"/>
      <c r="AA5" s="3" t="s">
        <v>37</v>
      </c>
      <c r="AB5" s="10" t="s">
        <v>32</v>
      </c>
      <c r="AC5" s="8"/>
      <c r="AD5" s="3" t="s">
        <v>32</v>
      </c>
      <c r="AG5" s="3" t="s">
        <v>32</v>
      </c>
      <c r="AJ5" s="11"/>
      <c r="AK5" s="10" t="s">
        <v>32</v>
      </c>
    </row>
    <row r="6" spans="1:39" x14ac:dyDescent="0.3">
      <c r="A6" s="2">
        <v>1</v>
      </c>
      <c r="B6" s="2" t="s">
        <v>8</v>
      </c>
      <c r="C6" s="2" t="s">
        <v>9</v>
      </c>
      <c r="D6" s="2"/>
      <c r="E6" s="2" t="b">
        <v>0</v>
      </c>
      <c r="F6" s="2" t="s">
        <v>10</v>
      </c>
      <c r="G6" s="2"/>
      <c r="H6" s="2"/>
      <c r="I6" s="16">
        <v>100</v>
      </c>
      <c r="J6" s="1"/>
      <c r="K6" s="11" t="str">
        <f>IF(E6=TRUE, _xlfn.CONCAT(A6," Prodotto finito"),_xlfn.CONCAT(A6," Componente"))</f>
        <v>1 Componente</v>
      </c>
      <c r="M6" s="11" t="str">
        <f>IF(OR(G6="", D6=""),"dati incompleti","dati completi")</f>
        <v>dati incompleti</v>
      </c>
      <c r="R6" s="2" t="str">
        <f>IF(AND(D6="",G6=""),"ENTRAMBI VUOTI",MAX(D6,G6))</f>
        <v>ENTRAMBI VUOTI</v>
      </c>
      <c r="S6" s="2" t="str">
        <f>IF(_xlfn.XOR(D6="",G6=""),IF(G6&lt;&gt;"",G6,"OKAKA"),IF(NOT(G6=""),G6,"Valorizzare List Price"))</f>
        <v>Valorizzare List Price</v>
      </c>
      <c r="T6" s="11" t="str">
        <f>IF(_xlfn.XOR(D6="",G6=""),MAX(D6,G6),IF(NOT(G6=""),G6,"Valorizzare List Price"))</f>
        <v>Valorizzare List Price</v>
      </c>
      <c r="V6" s="2" t="s">
        <v>10</v>
      </c>
      <c r="W6" s="2">
        <f>COUNTIF($F$6:$F$14,V6)</f>
        <v>2</v>
      </c>
      <c r="X6" s="2">
        <f>COUNTIFS(CONDIZIONE,TRUE,COLOR,V6)</f>
        <v>0</v>
      </c>
      <c r="Y6" s="1"/>
      <c r="AA6" s="11" t="s">
        <v>36</v>
      </c>
      <c r="AB6" s="11">
        <f>COUNTIF($C$6:$C$14,"*"&amp;AA6&amp;"*")</f>
        <v>1</v>
      </c>
      <c r="AD6" s="2">
        <f>COUNTIF(NAME,"???M*")</f>
        <v>4</v>
      </c>
      <c r="AG6" s="2">
        <f>COUNTIF(LISTPRICE,"&gt;1300")</f>
        <v>2</v>
      </c>
      <c r="AJ6" s="10" t="s">
        <v>44</v>
      </c>
      <c r="AK6" s="11">
        <f>SUM(I6:I14)</f>
        <v>1120</v>
      </c>
    </row>
    <row r="7" spans="1:39" x14ac:dyDescent="0.3">
      <c r="A7" s="2">
        <v>3</v>
      </c>
      <c r="B7" s="2" t="s">
        <v>11</v>
      </c>
      <c r="C7" s="2" t="s">
        <v>12</v>
      </c>
      <c r="D7" s="2"/>
      <c r="E7" s="2" t="b">
        <v>0</v>
      </c>
      <c r="F7" s="2" t="s">
        <v>10</v>
      </c>
      <c r="G7" s="2"/>
      <c r="H7" s="2"/>
      <c r="I7" s="16">
        <v>150</v>
      </c>
      <c r="J7" s="1"/>
      <c r="K7" s="11" t="str">
        <f t="shared" ref="K7:K14" si="0">IF(E7=TRUE, _xlfn.CONCAT(A7," Prodotto finito"),_xlfn.CONCAT(A7," Componente"))</f>
        <v>3 Componente</v>
      </c>
      <c r="M7" s="11" t="str">
        <f t="shared" ref="M7:M14" si="1">IF(OR(G7="", D7=""),"dati incompleti","dati completi")</f>
        <v>dati incompleti</v>
      </c>
      <c r="R7" s="2" t="str">
        <f t="shared" ref="R7:R14" si="2">IF(AND(D7="",G7=""),"ENTRAMBI VUOTI",MAX(D7,G7))</f>
        <v>ENTRAMBI VUOTI</v>
      </c>
      <c r="S7" s="2" t="str">
        <f t="shared" ref="S7:S14" si="3">IF(_xlfn.XOR(D7="",G7=""),IF(G7&lt;&gt;"",G7,"OKAKA"),IF(NOT(G7=""),G7,"Valorizzare List Price"))</f>
        <v>Valorizzare List Price</v>
      </c>
      <c r="T7" s="11" t="str">
        <f t="shared" ref="T7:T14" si="4">IF(_xlfn.XOR(D7="",G7=""),MAX(D7,G7),IF(NOT(G7=""),G7,"Valorizzare List Price"))</f>
        <v>Valorizzare List Price</v>
      </c>
      <c r="V7" s="2" t="s">
        <v>69</v>
      </c>
      <c r="W7" s="2">
        <f t="shared" ref="W7:W8" si="5">COUNTIF($F$6:$F$14,V7)</f>
        <v>1</v>
      </c>
      <c r="X7" s="2">
        <f>COUNTIFS(CONDIZIONE,TRUE,COLOR,V7)</f>
        <v>0</v>
      </c>
      <c r="Y7" s="1"/>
      <c r="AA7" s="11" t="s">
        <v>39</v>
      </c>
      <c r="AB7" s="11">
        <f>COUNTIF($C$6:$C$14,"*"&amp;AA7&amp;"*")</f>
        <v>4</v>
      </c>
      <c r="AJ7" s="10" t="s">
        <v>47</v>
      </c>
      <c r="AK7" s="11">
        <f>SUMIF($I$6:$I$14,"&gt;99")</f>
        <v>1120</v>
      </c>
    </row>
    <row r="8" spans="1:39" x14ac:dyDescent="0.3">
      <c r="A8" s="2">
        <v>7</v>
      </c>
      <c r="B8" s="2" t="s">
        <v>14</v>
      </c>
      <c r="C8" s="2" t="s">
        <v>15</v>
      </c>
      <c r="D8" s="2"/>
      <c r="E8" s="2" t="b">
        <v>0</v>
      </c>
      <c r="F8" s="2" t="s">
        <v>13</v>
      </c>
      <c r="G8" s="2"/>
      <c r="H8" s="2"/>
      <c r="I8" s="16">
        <v>150</v>
      </c>
      <c r="J8" s="1"/>
      <c r="K8" s="11" t="str">
        <f t="shared" si="0"/>
        <v>7 Componente</v>
      </c>
      <c r="M8" s="11" t="str">
        <f t="shared" si="1"/>
        <v>dati incompleti</v>
      </c>
      <c r="R8" s="2" t="str">
        <f t="shared" si="2"/>
        <v>ENTRAMBI VUOTI</v>
      </c>
      <c r="S8" s="2" t="str">
        <f t="shared" si="3"/>
        <v>Valorizzare List Price</v>
      </c>
      <c r="T8" s="11" t="str">
        <f t="shared" si="4"/>
        <v>Valorizzare List Price</v>
      </c>
      <c r="V8" s="2" t="s">
        <v>70</v>
      </c>
      <c r="W8" s="2">
        <f t="shared" si="5"/>
        <v>5</v>
      </c>
      <c r="X8" s="2">
        <f>COUNTIFS(CONDIZIONE,TRUE,COLOR,V8)</f>
        <v>4</v>
      </c>
      <c r="Y8" s="1"/>
      <c r="AJ8" s="10" t="s">
        <v>45</v>
      </c>
      <c r="AK8" s="11">
        <f>SUMIF(CONDIZIONE,TRUE,I6:I14)</f>
        <v>520</v>
      </c>
    </row>
    <row r="9" spans="1:39" x14ac:dyDescent="0.3">
      <c r="A9" s="2">
        <v>10</v>
      </c>
      <c r="B9" s="2" t="s">
        <v>17</v>
      </c>
      <c r="C9" s="2" t="s">
        <v>18</v>
      </c>
      <c r="D9" s="2"/>
      <c r="E9" s="2" t="b">
        <v>0</v>
      </c>
      <c r="F9" s="2" t="s">
        <v>16</v>
      </c>
      <c r="G9" s="2"/>
      <c r="H9" s="2"/>
      <c r="I9" s="16">
        <v>200</v>
      </c>
      <c r="J9" s="1"/>
      <c r="K9" s="11" t="str">
        <f t="shared" si="0"/>
        <v>10 Componente</v>
      </c>
      <c r="M9" s="11" t="str">
        <f t="shared" si="1"/>
        <v>dati incompleti</v>
      </c>
      <c r="R9" s="2" t="str">
        <f t="shared" si="2"/>
        <v>ENTRAMBI VUOTI</v>
      </c>
      <c r="S9" s="2" t="str">
        <f t="shared" si="3"/>
        <v>Valorizzare List Price</v>
      </c>
      <c r="T9" s="11" t="str">
        <f t="shared" si="4"/>
        <v>Valorizzare List Price</v>
      </c>
      <c r="AG9" s="35" t="s">
        <v>43</v>
      </c>
      <c r="AH9" s="35"/>
    </row>
    <row r="10" spans="1:39" x14ac:dyDescent="0.3">
      <c r="A10" s="2">
        <v>290</v>
      </c>
      <c r="B10" s="2" t="s">
        <v>21</v>
      </c>
      <c r="C10" s="2" t="s">
        <v>22</v>
      </c>
      <c r="D10" s="2">
        <v>747.2</v>
      </c>
      <c r="E10" s="2" t="b">
        <v>1</v>
      </c>
      <c r="F10" s="2" t="s">
        <v>16</v>
      </c>
      <c r="G10" s="31"/>
      <c r="H10" s="2" t="s">
        <v>23</v>
      </c>
      <c r="I10" s="16">
        <v>100</v>
      </c>
      <c r="J10" s="1"/>
      <c r="K10" s="11" t="str">
        <f t="shared" si="0"/>
        <v>290 Prodotto finito</v>
      </c>
      <c r="M10" s="11" t="str">
        <f t="shared" si="1"/>
        <v>dati incompleti</v>
      </c>
      <c r="R10" s="2">
        <f t="shared" si="2"/>
        <v>747.2</v>
      </c>
      <c r="S10" s="2" t="str">
        <f t="shared" si="3"/>
        <v>OKAKA</v>
      </c>
      <c r="T10" s="11">
        <f t="shared" si="4"/>
        <v>747.2</v>
      </c>
    </row>
    <row r="11" spans="1:39" x14ac:dyDescent="0.3">
      <c r="A11" s="2">
        <v>291</v>
      </c>
      <c r="B11" s="2" t="s">
        <v>24</v>
      </c>
      <c r="C11" s="2" t="s">
        <v>25</v>
      </c>
      <c r="D11" s="2">
        <v>706.81</v>
      </c>
      <c r="E11" s="2" t="b">
        <v>1</v>
      </c>
      <c r="F11" s="2"/>
      <c r="G11" s="31">
        <v>1364.5</v>
      </c>
      <c r="H11" s="2" t="s">
        <v>19</v>
      </c>
      <c r="I11" s="16">
        <v>100</v>
      </c>
      <c r="J11" s="1"/>
      <c r="K11" s="11" t="str">
        <f t="shared" si="0"/>
        <v>291 Prodotto finito</v>
      </c>
      <c r="M11" s="11" t="str">
        <f t="shared" si="1"/>
        <v>dati completi</v>
      </c>
      <c r="R11" s="2">
        <f t="shared" si="2"/>
        <v>1364.5</v>
      </c>
      <c r="S11" s="2">
        <f t="shared" si="3"/>
        <v>1364.5</v>
      </c>
      <c r="T11" s="11">
        <f t="shared" si="4"/>
        <v>1364.5</v>
      </c>
      <c r="AG11" s="10" t="s">
        <v>42</v>
      </c>
      <c r="AH11" s="10" t="s">
        <v>32</v>
      </c>
    </row>
    <row r="12" spans="1:39" x14ac:dyDescent="0.3">
      <c r="A12" s="2">
        <v>292</v>
      </c>
      <c r="B12" s="2" t="s">
        <v>26</v>
      </c>
      <c r="C12" s="2" t="s">
        <v>35</v>
      </c>
      <c r="D12" s="2"/>
      <c r="E12" s="2" t="b">
        <v>1</v>
      </c>
      <c r="F12" s="2" t="s">
        <v>16</v>
      </c>
      <c r="G12" s="31">
        <v>1364.5</v>
      </c>
      <c r="H12" s="2" t="s">
        <v>20</v>
      </c>
      <c r="I12" s="16">
        <v>120</v>
      </c>
      <c r="J12" s="1"/>
      <c r="K12" s="11" t="str">
        <f t="shared" si="0"/>
        <v>292 Prodotto finito</v>
      </c>
      <c r="M12" s="11" t="str">
        <f t="shared" si="1"/>
        <v>dati incompleti</v>
      </c>
      <c r="R12" s="2">
        <f t="shared" si="2"/>
        <v>1364.5</v>
      </c>
      <c r="S12" s="2">
        <f t="shared" si="3"/>
        <v>1364.5</v>
      </c>
      <c r="T12" s="11">
        <f t="shared" si="4"/>
        <v>1364.5</v>
      </c>
      <c r="AG12" s="17" t="s">
        <v>25</v>
      </c>
      <c r="AH12" s="11">
        <f>COUNTIFS(LISTPRICE,"&gt;1300",NAME,AG12)</f>
        <v>1</v>
      </c>
    </row>
    <row r="13" spans="1:39" x14ac:dyDescent="0.3">
      <c r="A13" s="2">
        <v>293</v>
      </c>
      <c r="B13" s="2" t="s">
        <v>27</v>
      </c>
      <c r="C13" s="2" t="s">
        <v>28</v>
      </c>
      <c r="D13" s="2">
        <v>623.84</v>
      </c>
      <c r="E13" s="2" t="b">
        <v>1</v>
      </c>
      <c r="F13" s="2" t="s">
        <v>16</v>
      </c>
      <c r="G13" s="31">
        <v>1204.32</v>
      </c>
      <c r="H13" s="2" t="s">
        <v>29</v>
      </c>
      <c r="I13" s="16">
        <v>100</v>
      </c>
      <c r="J13" s="1"/>
      <c r="K13" s="11" t="str">
        <f t="shared" si="0"/>
        <v>293 Prodotto finito</v>
      </c>
      <c r="M13" s="11" t="str">
        <f t="shared" si="1"/>
        <v>dati completi</v>
      </c>
      <c r="R13" s="2">
        <f t="shared" si="2"/>
        <v>1204.32</v>
      </c>
      <c r="S13" s="2">
        <f t="shared" si="3"/>
        <v>1204.32</v>
      </c>
      <c r="T13" s="11">
        <f t="shared" si="4"/>
        <v>1204.32</v>
      </c>
    </row>
    <row r="14" spans="1:39" x14ac:dyDescent="0.3">
      <c r="A14" s="2">
        <v>294</v>
      </c>
      <c r="B14" s="2" t="s">
        <v>27</v>
      </c>
      <c r="C14" s="2" t="s">
        <v>28</v>
      </c>
      <c r="D14" s="2">
        <v>660.91</v>
      </c>
      <c r="E14" s="2" t="b">
        <v>1</v>
      </c>
      <c r="F14" s="2" t="s">
        <v>16</v>
      </c>
      <c r="G14" s="31">
        <v>1240.45</v>
      </c>
      <c r="H14" s="2" t="s">
        <v>29</v>
      </c>
      <c r="I14" s="16">
        <v>100</v>
      </c>
      <c r="J14" s="1"/>
      <c r="K14" s="11" t="str">
        <f t="shared" si="0"/>
        <v>294 Prodotto finito</v>
      </c>
      <c r="M14" s="11" t="str">
        <f t="shared" si="1"/>
        <v>dati completi</v>
      </c>
      <c r="R14" s="2">
        <f t="shared" si="2"/>
        <v>1240.45</v>
      </c>
      <c r="S14" s="2">
        <f t="shared" si="3"/>
        <v>1240.45</v>
      </c>
      <c r="T14" s="11">
        <f t="shared" si="4"/>
        <v>1240.45</v>
      </c>
    </row>
    <row r="15" spans="1:39" x14ac:dyDescent="0.3">
      <c r="A15" s="1"/>
      <c r="B15" s="1"/>
      <c r="C15" s="1"/>
      <c r="D15" s="1"/>
      <c r="E15" s="1"/>
      <c r="F15" s="1"/>
      <c r="G15" s="6"/>
      <c r="H15" s="1"/>
      <c r="I15" s="7"/>
      <c r="J15" s="1"/>
    </row>
    <row r="16" spans="1:39" x14ac:dyDescent="0.3">
      <c r="A16" s="1"/>
      <c r="B16" s="1"/>
      <c r="C16" s="1"/>
      <c r="D16" s="1"/>
      <c r="E16" s="1"/>
      <c r="F16" s="1"/>
      <c r="G16" s="6"/>
      <c r="H16" s="1"/>
      <c r="I16" s="7"/>
      <c r="J16" s="1"/>
    </row>
    <row r="17" spans="1:30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"/>
    </row>
    <row r="18" spans="1:30" x14ac:dyDescent="0.3">
      <c r="A18" s="13"/>
      <c r="B18" s="13"/>
      <c r="C18" s="13"/>
      <c r="D18" s="13"/>
      <c r="E18" s="13"/>
      <c r="F18" s="13"/>
      <c r="G18" s="14"/>
      <c r="H18" s="13"/>
      <c r="I18" s="13"/>
      <c r="J18" s="1"/>
    </row>
    <row r="22" spans="1:30" ht="15" x14ac:dyDescent="0.3">
      <c r="AA22" s="27" t="s">
        <v>71</v>
      </c>
    </row>
    <row r="23" spans="1:30" ht="15" x14ac:dyDescent="0.3">
      <c r="X23" t="s">
        <v>79</v>
      </c>
      <c r="AA23" s="27" t="s">
        <v>79</v>
      </c>
      <c r="AD23" s="27" t="s">
        <v>79</v>
      </c>
    </row>
    <row r="24" spans="1:30" ht="15" x14ac:dyDescent="0.3">
      <c r="X24" s="27">
        <f>COUNTIFS($F$6:$F$14,W6,$E$6:$E$14, TRUE)</f>
        <v>0</v>
      </c>
      <c r="AA24" s="27">
        <f>COUNTIF($C$6:$C$14,"*"&amp;AA6&amp;"*")</f>
        <v>1</v>
      </c>
      <c r="AD24">
        <f>COUNTIF(C6:C14, "??M*")</f>
        <v>0</v>
      </c>
    </row>
    <row r="25" spans="1:30" ht="15" x14ac:dyDescent="0.3">
      <c r="AA25" s="27"/>
    </row>
    <row r="26" spans="1:30" x14ac:dyDescent="0.3">
      <c r="R26" s="28" t="s">
        <v>76</v>
      </c>
    </row>
    <row r="27" spans="1:30" x14ac:dyDescent="0.3">
      <c r="R27" t="str" cm="1">
        <f t="array" ref="R27">_xlfn.IFS(D6&gt;G6,D6,G6&gt;D6,G6,NOT(G6=""),G6,AND(D6="",G6=""),"VALORIZZARE LIST PRICE")</f>
        <v>VALORIZZARE LIST PRICE</v>
      </c>
    </row>
    <row r="29" spans="1:30" x14ac:dyDescent="0.3">
      <c r="R29" s="28" t="s">
        <v>77</v>
      </c>
    </row>
    <row r="30" spans="1:30" ht="15" x14ac:dyDescent="0.3">
      <c r="R30" s="27" t="str">
        <f>IF(AND(D6="",G6=""), "Valorizzare List Price", MAX(D6,G6))</f>
        <v>Valorizzare List Price</v>
      </c>
    </row>
    <row r="31" spans="1:30" x14ac:dyDescent="0.3">
      <c r="R31" s="28" t="s">
        <v>78</v>
      </c>
    </row>
    <row r="32" spans="1:30" ht="15" x14ac:dyDescent="0.3">
      <c r="R32" s="27" t="str">
        <f>IF(_xlfn.XOR(D6="",G6=""), MAX(D6,G6), IF(NOT(G6=""), G6, "Valorizzare List Price"))</f>
        <v>Valorizzare List Price</v>
      </c>
    </row>
  </sheetData>
  <mergeCells count="9">
    <mergeCell ref="K1:K4"/>
    <mergeCell ref="AG1:AH4"/>
    <mergeCell ref="AG9:AH9"/>
    <mergeCell ref="AJ1:AM4"/>
    <mergeCell ref="AA1:AB4"/>
    <mergeCell ref="AD1:AE4"/>
    <mergeCell ref="V1:Y4"/>
    <mergeCell ref="M1:O4"/>
    <mergeCell ref="Q1:T4"/>
  </mergeCells>
  <dataValidations count="1">
    <dataValidation type="list" allowBlank="1" showInputMessage="1" showErrorMessage="1" sqref="AG12" xr:uid="{4976DFB2-D748-4925-8CD9-26E9350C0F28}">
      <formula1>NAME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E6F3-6F00-4CC1-8C18-E60849CA9DB8}">
  <dimension ref="A2:M22"/>
  <sheetViews>
    <sheetView workbookViewId="0">
      <selection activeCell="G16" sqref="G16"/>
    </sheetView>
  </sheetViews>
  <sheetFormatPr defaultRowHeight="14.4" x14ac:dyDescent="0.3"/>
  <cols>
    <col min="1" max="1" width="10.5546875" bestFit="1" customWidth="1"/>
    <col min="2" max="2" width="18.44140625" bestFit="1" customWidth="1"/>
    <col min="3" max="3" width="25.5546875" bestFit="1" customWidth="1"/>
    <col min="5" max="5" width="11.44140625" customWidth="1"/>
    <col min="6" max="6" width="9.21875" bestFit="1" customWidth="1"/>
    <col min="7" max="7" width="12" customWidth="1"/>
    <col min="8" max="8" width="10.5546875" bestFit="1" customWidth="1"/>
    <col min="9" max="9" width="10.77734375" customWidth="1"/>
    <col min="11" max="11" width="25.44140625" customWidth="1"/>
    <col min="12" max="12" width="22.5546875" customWidth="1"/>
    <col min="13" max="13" width="26.21875" customWidth="1"/>
  </cols>
  <sheetData>
    <row r="2" spans="1:13" x14ac:dyDescent="0.3">
      <c r="A2" s="32" t="s">
        <v>61</v>
      </c>
      <c r="B2" s="32"/>
      <c r="C2" s="32"/>
      <c r="E2" s="32" t="s">
        <v>62</v>
      </c>
      <c r="F2" s="32"/>
      <c r="G2" s="32"/>
      <c r="H2" s="32"/>
      <c r="I2" s="32"/>
      <c r="J2" s="32"/>
      <c r="K2" s="38" t="s">
        <v>56</v>
      </c>
      <c r="L2" s="39" t="s">
        <v>57</v>
      </c>
      <c r="M2" s="39"/>
    </row>
    <row r="3" spans="1:13" x14ac:dyDescent="0.3">
      <c r="A3" s="3" t="s">
        <v>0</v>
      </c>
      <c r="B3" s="3" t="s">
        <v>1</v>
      </c>
      <c r="C3" s="3" t="s">
        <v>2</v>
      </c>
      <c r="E3" s="3" t="s">
        <v>48</v>
      </c>
      <c r="F3" s="3" t="s">
        <v>49</v>
      </c>
      <c r="G3" s="3" t="s">
        <v>50</v>
      </c>
      <c r="H3" s="3" t="s">
        <v>0</v>
      </c>
      <c r="I3" s="3" t="s">
        <v>51</v>
      </c>
      <c r="J3" s="3" t="s">
        <v>52</v>
      </c>
      <c r="K3" s="20" t="s">
        <v>2</v>
      </c>
      <c r="L3" s="21" t="s">
        <v>1</v>
      </c>
      <c r="M3" s="21" t="s">
        <v>2</v>
      </c>
    </row>
    <row r="4" spans="1:13" x14ac:dyDescent="0.3">
      <c r="A4" s="2">
        <v>1</v>
      </c>
      <c r="B4" s="2" t="s">
        <v>8</v>
      </c>
      <c r="C4" s="2" t="s">
        <v>9</v>
      </c>
      <c r="E4" s="11" t="s">
        <v>53</v>
      </c>
      <c r="F4" s="11">
        <v>1</v>
      </c>
      <c r="G4" s="18">
        <v>45931</v>
      </c>
      <c r="H4" s="11">
        <v>291</v>
      </c>
      <c r="I4" s="11">
        <v>1364.5</v>
      </c>
      <c r="J4" s="11">
        <v>1</v>
      </c>
      <c r="K4" s="19" t="str">
        <f>VLOOKUP(H4,A4:C12,3,)</f>
        <v>HL Mountain Frame - Silver, 44</v>
      </c>
      <c r="L4" s="22" t="str">
        <f>_xlfn.XLOOKUP(H4,A4:A12,B4:B12,"okaka")</f>
        <v>FR-M94S-44</v>
      </c>
      <c r="M4" s="22" t="str">
        <f>_xlfn.XLOOKUP(H4,A4:A12,C4:C12)</f>
        <v>HL Mountain Frame - Silver, 44</v>
      </c>
    </row>
    <row r="5" spans="1:13" x14ac:dyDescent="0.3">
      <c r="A5" s="2">
        <v>3</v>
      </c>
      <c r="B5" s="2" t="s">
        <v>11</v>
      </c>
      <c r="C5" s="2" t="s">
        <v>12</v>
      </c>
      <c r="E5" s="11" t="s">
        <v>53</v>
      </c>
      <c r="F5" s="11">
        <v>2</v>
      </c>
      <c r="G5" s="18">
        <v>45931</v>
      </c>
      <c r="H5" s="11">
        <v>292</v>
      </c>
      <c r="I5" s="11">
        <v>1364.5</v>
      </c>
      <c r="J5" s="11">
        <v>1</v>
      </c>
      <c r="K5" s="19" t="str">
        <f t="shared" ref="K5:K8" si="0">VLOOKUP(H5,A5:C13,3,)</f>
        <v>HL Road Frame - Silver, 48</v>
      </c>
      <c r="L5" s="22" t="str">
        <f t="shared" ref="L5:L8" si="1">_xlfn.XLOOKUP(H5,A5:A13,B5:B13,"okaka")</f>
        <v>FR-M94S-52</v>
      </c>
      <c r="M5" s="22" t="str">
        <f t="shared" ref="M5:M8" si="2">_xlfn.XLOOKUP(H5,A5:A13,C5:C13)</f>
        <v>HL Road Frame - Silver, 48</v>
      </c>
    </row>
    <row r="6" spans="1:13" x14ac:dyDescent="0.3">
      <c r="A6" s="2">
        <v>7</v>
      </c>
      <c r="B6" s="2" t="s">
        <v>14</v>
      </c>
      <c r="C6" s="2" t="s">
        <v>15</v>
      </c>
      <c r="E6" s="11" t="s">
        <v>53</v>
      </c>
      <c r="F6" s="11">
        <v>3</v>
      </c>
      <c r="G6" s="18">
        <v>45931</v>
      </c>
      <c r="H6" s="11">
        <v>293</v>
      </c>
      <c r="I6" s="11">
        <v>1204.32</v>
      </c>
      <c r="J6" s="11">
        <v>1</v>
      </c>
      <c r="K6" s="19" t="str">
        <f t="shared" si="0"/>
        <v>HL Mountain Frame - Silver, 46</v>
      </c>
      <c r="L6" s="22" t="str">
        <f t="shared" si="1"/>
        <v>FR-M94S-46</v>
      </c>
      <c r="M6" s="22" t="str">
        <f t="shared" si="2"/>
        <v>HL Mountain Frame - Silver, 46</v>
      </c>
    </row>
    <row r="7" spans="1:13" x14ac:dyDescent="0.3">
      <c r="A7" s="2">
        <v>10</v>
      </c>
      <c r="B7" s="2" t="s">
        <v>17</v>
      </c>
      <c r="C7" s="2" t="s">
        <v>18</v>
      </c>
      <c r="E7" s="11" t="s">
        <v>54</v>
      </c>
      <c r="F7" s="11">
        <v>1</v>
      </c>
      <c r="G7" s="18">
        <v>45931</v>
      </c>
      <c r="H7" s="11">
        <v>291</v>
      </c>
      <c r="I7" s="11">
        <v>1364.5</v>
      </c>
      <c r="J7" s="11">
        <v>2</v>
      </c>
      <c r="K7" s="19" t="str">
        <f t="shared" si="0"/>
        <v>HL Mountain Frame - Silver, 44</v>
      </c>
      <c r="L7" s="22" t="str">
        <f t="shared" si="1"/>
        <v>FR-M94S-44</v>
      </c>
      <c r="M7" s="22" t="str">
        <f t="shared" si="2"/>
        <v>HL Mountain Frame - Silver, 44</v>
      </c>
    </row>
    <row r="8" spans="1:13" x14ac:dyDescent="0.3">
      <c r="A8" s="2">
        <v>290</v>
      </c>
      <c r="B8" s="2" t="s">
        <v>21</v>
      </c>
      <c r="C8" s="2" t="s">
        <v>22</v>
      </c>
      <c r="E8" s="11" t="s">
        <v>55</v>
      </c>
      <c r="F8" s="11">
        <v>1</v>
      </c>
      <c r="G8" s="18">
        <v>45931</v>
      </c>
      <c r="H8" s="11">
        <v>291</v>
      </c>
      <c r="I8" s="11">
        <v>1364.5</v>
      </c>
      <c r="J8" s="11">
        <v>1</v>
      </c>
      <c r="K8" s="19" t="str">
        <f t="shared" si="0"/>
        <v>HL Mountain Frame - Silver, 44</v>
      </c>
      <c r="L8" s="22" t="str">
        <f t="shared" si="1"/>
        <v>FR-M94S-44</v>
      </c>
      <c r="M8" s="22" t="str">
        <f t="shared" si="2"/>
        <v>HL Mountain Frame - Silver, 44</v>
      </c>
    </row>
    <row r="9" spans="1:13" x14ac:dyDescent="0.3">
      <c r="A9" s="2">
        <v>291</v>
      </c>
      <c r="B9" s="2" t="s">
        <v>24</v>
      </c>
      <c r="C9" s="2" t="s">
        <v>25</v>
      </c>
    </row>
    <row r="10" spans="1:13" x14ac:dyDescent="0.3">
      <c r="A10" s="2">
        <v>292</v>
      </c>
      <c r="B10" s="2" t="s">
        <v>26</v>
      </c>
      <c r="C10" s="2" t="s">
        <v>35</v>
      </c>
    </row>
    <row r="11" spans="1:13" x14ac:dyDescent="0.3">
      <c r="A11" s="2">
        <v>293</v>
      </c>
      <c r="B11" s="2" t="s">
        <v>27</v>
      </c>
      <c r="C11" s="2" t="s">
        <v>28</v>
      </c>
    </row>
    <row r="12" spans="1:13" x14ac:dyDescent="0.3">
      <c r="A12" s="2">
        <v>294</v>
      </c>
      <c r="B12" s="2" t="s">
        <v>27</v>
      </c>
      <c r="C12" s="2" t="s">
        <v>28</v>
      </c>
    </row>
    <row r="19" spans="3:7" x14ac:dyDescent="0.3">
      <c r="C19" s="1"/>
      <c r="D19" s="1"/>
      <c r="E19" s="1"/>
      <c r="F19" s="1"/>
      <c r="G19" s="6"/>
    </row>
    <row r="20" spans="3:7" x14ac:dyDescent="0.3">
      <c r="C20" s="1"/>
      <c r="D20" s="1"/>
      <c r="E20" s="1"/>
      <c r="F20" s="1"/>
      <c r="G20" s="6"/>
    </row>
    <row r="21" spans="3:7" x14ac:dyDescent="0.3">
      <c r="C21" s="1"/>
      <c r="D21" s="1"/>
      <c r="E21" s="1"/>
      <c r="F21" s="1"/>
      <c r="G21" s="6"/>
    </row>
    <row r="22" spans="3:7" x14ac:dyDescent="0.3">
      <c r="C22" s="1"/>
      <c r="D22" s="1"/>
      <c r="E22" s="1"/>
      <c r="F22" s="1"/>
      <c r="G22" s="6"/>
    </row>
  </sheetData>
  <mergeCells count="4">
    <mergeCell ref="L2:M2"/>
    <mergeCell ref="A2:C2"/>
    <mergeCell ref="E2:G2"/>
    <mergeCell ref="H2:J2"/>
  </mergeCells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121A42-43B5-4338-86D1-9BECF4139B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Foglio1</vt:lpstr>
      <vt:lpstr>Foglio2</vt:lpstr>
      <vt:lpstr>Foglio4</vt:lpstr>
      <vt:lpstr>COLOR</vt:lpstr>
      <vt:lpstr>CONDIZIONE</vt:lpstr>
      <vt:lpstr>LISTPRICE</vt:lpstr>
      <vt:lpstr>NAME</vt:lpstr>
      <vt:lpstr>nNAME</vt:lpstr>
      <vt:lpstr>PRODUCTKEY</vt:lpstr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Canonico</dc:creator>
  <cp:lastModifiedBy>Andrea Farinella</cp:lastModifiedBy>
  <dcterms:created xsi:type="dcterms:W3CDTF">2024-09-29T11:59:30Z</dcterms:created>
  <dcterms:modified xsi:type="dcterms:W3CDTF">2024-10-03T20:34:39Z</dcterms:modified>
</cp:coreProperties>
</file>